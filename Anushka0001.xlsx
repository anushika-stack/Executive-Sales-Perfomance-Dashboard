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8536b11513d9db0/Documents/"/>
    </mc:Choice>
  </mc:AlternateContent>
  <xr:revisionPtr revIDLastSave="197" documentId="8_{273E0716-0FB9-4B9B-8563-87719F9DB2ED}" xr6:coauthVersionLast="47" xr6:coauthVersionMax="47" xr10:uidLastSave="{B0477F2F-5640-450D-A5B5-47058C4C9E82}"/>
  <bookViews>
    <workbookView xWindow="-108" yWindow="-108" windowWidth="23256" windowHeight="12456" xr2:uid="{E17A987F-8949-4AAB-B4CE-3B018C179DC9}"/>
  </bookViews>
  <sheets>
    <sheet name="Executive Dashbboard" sheetId="1" r:id="rId1"/>
    <sheet name="Sales Data Master" sheetId="2" r:id="rId2"/>
  </sheets>
  <definedNames>
    <definedName name="Slicer_Product_Categor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 l="1"/>
  <c r="C18" i="1" s="1"/>
  <c r="E19" i="1"/>
  <c r="C19" i="1" s="1"/>
  <c r="E17" i="1"/>
  <c r="C17" i="1" s="1"/>
  <c r="E10" i="1"/>
  <c r="E11" i="1"/>
  <c r="E12" i="1"/>
  <c r="E9" i="1"/>
  <c r="C10" i="1"/>
  <c r="C11" i="1"/>
  <c r="C12" i="1"/>
  <c r="C9" i="1"/>
  <c r="E4" i="1"/>
  <c r="B4" i="1"/>
  <c r="G6" i="2"/>
  <c r="G8" i="2"/>
  <c r="G4" i="2"/>
  <c r="G3" i="2"/>
  <c r="H3" i="2" s="1"/>
  <c r="G7" i="2"/>
  <c r="H7" i="2" s="1"/>
  <c r="G10" i="2"/>
  <c r="H10" i="2" s="1"/>
  <c r="G5" i="2"/>
  <c r="H5" i="2" s="1"/>
  <c r="G9" i="2"/>
  <c r="H9" i="2" s="1"/>
  <c r="G11" i="2"/>
  <c r="H11" i="2" s="1"/>
  <c r="G2" i="2"/>
  <c r="G9" i="1" s="1"/>
  <c r="H6" i="2" l="1"/>
  <c r="G10" i="1"/>
  <c r="H8" i="2"/>
  <c r="G11" i="1"/>
  <c r="H4" i="2"/>
  <c r="G12" i="1"/>
  <c r="H4" i="1"/>
  <c r="H2" i="2"/>
</calcChain>
</file>

<file path=xl/sharedStrings.xml><?xml version="1.0" encoding="utf-8"?>
<sst xmlns="http://schemas.openxmlformats.org/spreadsheetml/2006/main" count="55" uniqueCount="33">
  <si>
    <t>Date</t>
  </si>
  <si>
    <t>Region</t>
  </si>
  <si>
    <t>Sales Rep</t>
  </si>
  <si>
    <t>Product Category</t>
  </si>
  <si>
    <t>Target amount</t>
  </si>
  <si>
    <t>Revenue Achieved</t>
  </si>
  <si>
    <t>Achievement %</t>
  </si>
  <si>
    <t>Commission Tier</t>
  </si>
  <si>
    <t>North</t>
  </si>
  <si>
    <t>South</t>
  </si>
  <si>
    <t>East</t>
  </si>
  <si>
    <t>West</t>
  </si>
  <si>
    <t>Amit sharma</t>
  </si>
  <si>
    <t>Priya patel</t>
  </si>
  <si>
    <t>Rahul Verma</t>
  </si>
  <si>
    <t>Neha Gupta</t>
  </si>
  <si>
    <t>Vikram singh</t>
  </si>
  <si>
    <t>Tech</t>
  </si>
  <si>
    <t>Appliances</t>
  </si>
  <si>
    <t>Furniture</t>
  </si>
  <si>
    <t>EXECUTIVE SALES PERFOMANCE  DASHBOARD</t>
  </si>
  <si>
    <t>TOTAL REVENUE</t>
  </si>
  <si>
    <t>TOTAL TARGET</t>
  </si>
  <si>
    <t>AVG ACHIEVEMENT</t>
  </si>
  <si>
    <t>REGIONAL PERFOMANCE SUMMARY</t>
  </si>
  <si>
    <t>Total Revenue</t>
  </si>
  <si>
    <t xml:space="preserve">Region </t>
  </si>
  <si>
    <t>Total Target</t>
  </si>
  <si>
    <t>Avg Achievement %</t>
  </si>
  <si>
    <t>TOP PERFORMING SALES REPS</t>
  </si>
  <si>
    <t>Rank</t>
  </si>
  <si>
    <t>Sales Rep Name</t>
  </si>
  <si>
    <t>Highest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</si>
</sst>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
      <b/>
      <sz val="10"/>
      <color theme="2" tint="-0.499984740745262"/>
      <name val="Calibri"/>
      <family val="2"/>
      <scheme val="minor"/>
    </font>
    <font>
      <b/>
      <sz val="11"/>
      <color theme="2" tint="-0.499984740745262"/>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2" tint="-9.9978637043366805E-2"/>
        <bgColor indexed="64"/>
      </patternFill>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14" fontId="0" fillId="0" borderId="0" xfId="0" applyNumberFormat="1"/>
    <xf numFmtId="164" fontId="0" fillId="0" borderId="0" xfId="0" applyNumberFormat="1"/>
    <xf numFmtId="9" fontId="0" fillId="0" borderId="0" xfId="0" applyNumberFormat="1"/>
    <xf numFmtId="0" fontId="5" fillId="0" borderId="0" xfId="0" applyFont="1"/>
    <xf numFmtId="0" fontId="3" fillId="3" borderId="0" xfId="0" applyFont="1" applyFill="1"/>
    <xf numFmtId="0" fontId="3" fillId="3" borderId="0" xfId="0" applyFont="1" applyFill="1" applyAlignment="1">
      <alignment vertical="center"/>
    </xf>
    <xf numFmtId="9" fontId="0" fillId="0" borderId="0" xfId="1" applyFont="1"/>
    <xf numFmtId="164" fontId="7" fillId="0" borderId="3" xfId="0" applyNumberFormat="1" applyFont="1" applyBorder="1" applyAlignment="1">
      <alignment horizontal="center"/>
    </xf>
    <xf numFmtId="0" fontId="6" fillId="0" borderId="1" xfId="0" applyFont="1" applyBorder="1" applyAlignment="1">
      <alignment horizontal="center"/>
    </xf>
    <xf numFmtId="0" fontId="0" fillId="0" borderId="2" xfId="0" applyBorder="1" applyAlignment="1">
      <alignment horizontal="center"/>
    </xf>
    <xf numFmtId="9" fontId="7" fillId="0" borderId="3" xfId="0" applyNumberFormat="1" applyFont="1" applyBorder="1" applyAlignment="1">
      <alignment horizontal="center"/>
    </xf>
    <xf numFmtId="0" fontId="7" fillId="0" borderId="3" xfId="0" applyFont="1" applyBorder="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Alignment="1">
      <alignment horizontal="center"/>
    </xf>
    <xf numFmtId="0" fontId="5" fillId="0" borderId="1" xfId="0" applyFont="1" applyBorder="1" applyAlignment="1">
      <alignment horizontal="center"/>
    </xf>
    <xf numFmtId="0" fontId="3" fillId="0" borderId="2" xfId="0" applyFont="1" applyBorder="1" applyAlignment="1">
      <alignment horizontal="center"/>
    </xf>
    <xf numFmtId="164" fontId="7" fillId="0" borderId="0" xfId="0" applyNumberFormat="1" applyFont="1" applyAlignment="1">
      <alignment horizontal="center"/>
    </xf>
  </cellXfs>
  <cellStyles count="2">
    <cellStyle name="Normal" xfId="0" builtinId="0"/>
    <cellStyle name="Percent" xfId="1" builtinId="5"/>
  </cellStyles>
  <dxfs count="5">
    <dxf>
      <numFmt numFmtId="13" formatCode="0%"/>
    </dxf>
    <dxf>
      <numFmt numFmtId="164" formatCode="_-[$$-409]* #,##0.00_ ;_-[$$-409]* \-#,##0.00\ ;_-[$$-409]* &quot;-&quot;??_ ;_-@_ "/>
    </dxf>
    <dxf>
      <numFmt numFmtId="164" formatCode="_-[$$-409]* #,##0.00_ ;_-[$$-409]* \-#,##0.00\ ;_-[$$-409]* &quot;-&quot;??_ ;_-@_ "/>
    </dxf>
    <dxf>
      <numFmt numFmtId="19" formatCode="dd/mm/yyyy"/>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PERFOMANCE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8238561270266748"/>
          <c:y val="0.17634270834629084"/>
          <c:w val="0.78411307961504817"/>
          <c:h val="0.61498432487605714"/>
        </c:manualLayout>
      </c:layout>
      <c:barChart>
        <c:barDir val="col"/>
        <c:grouping val="clustered"/>
        <c:varyColors val="0"/>
        <c:ser>
          <c:idx val="0"/>
          <c:order val="0"/>
          <c:tx>
            <c:strRef>
              <c:f>'Executive Dashbboard'!$C$8</c:f>
              <c:strCache>
                <c:ptCount val="1"/>
                <c:pt idx="0">
                  <c:v>Total Revenue</c:v>
                </c:pt>
              </c:strCache>
            </c:strRef>
          </c:tx>
          <c:spPr>
            <a:solidFill>
              <a:schemeClr val="accent1">
                <a:shade val="65000"/>
              </a:schemeClr>
            </a:solidFill>
            <a:ln>
              <a:noFill/>
            </a:ln>
            <a:effectLst/>
          </c:spPr>
          <c:invertIfNegative val="0"/>
          <c:cat>
            <c:strRef>
              <c:f>'Executive Dashbboard'!$B$9:$B$12</c:f>
              <c:strCache>
                <c:ptCount val="4"/>
                <c:pt idx="0">
                  <c:v>North</c:v>
                </c:pt>
                <c:pt idx="1">
                  <c:v>South</c:v>
                </c:pt>
                <c:pt idx="2">
                  <c:v>East</c:v>
                </c:pt>
                <c:pt idx="3">
                  <c:v>West</c:v>
                </c:pt>
              </c:strCache>
            </c:strRef>
          </c:cat>
          <c:val>
            <c:numRef>
              <c:f>'Executive Dashbboard'!$C$9:$C$12</c:f>
              <c:numCache>
                <c:formatCode>_-[$$-409]* #,##0.00_ ;_-[$$-409]* \-#,##0.00\ ;_-[$$-409]* "-"??_ ;_-@_ </c:formatCode>
                <c:ptCount val="4"/>
                <c:pt idx="0">
                  <c:v>265000</c:v>
                </c:pt>
                <c:pt idx="1">
                  <c:v>127000</c:v>
                </c:pt>
                <c:pt idx="2">
                  <c:v>189000</c:v>
                </c:pt>
                <c:pt idx="3">
                  <c:v>182000</c:v>
                </c:pt>
              </c:numCache>
            </c:numRef>
          </c:val>
          <c:extLst>
            <c:ext xmlns:c16="http://schemas.microsoft.com/office/drawing/2014/chart" uri="{C3380CC4-5D6E-409C-BE32-E72D297353CC}">
              <c16:uniqueId val="{00000000-BABC-421F-97AF-EBFD3A0DCE83}"/>
            </c:ext>
          </c:extLst>
        </c:ser>
        <c:ser>
          <c:idx val="2"/>
          <c:order val="2"/>
          <c:tx>
            <c:strRef>
              <c:f>'Executive Dashbboard'!$E$8</c:f>
              <c:strCache>
                <c:ptCount val="1"/>
                <c:pt idx="0">
                  <c:v>Total Target</c:v>
                </c:pt>
              </c:strCache>
            </c:strRef>
          </c:tx>
          <c:spPr>
            <a:solidFill>
              <a:schemeClr val="accent1">
                <a:tint val="65000"/>
              </a:schemeClr>
            </a:solidFill>
            <a:ln>
              <a:noFill/>
            </a:ln>
            <a:effectLst/>
          </c:spPr>
          <c:invertIfNegative val="0"/>
          <c:cat>
            <c:strRef>
              <c:f>'Executive Dashbboard'!$B$9:$B$12</c:f>
              <c:strCache>
                <c:ptCount val="4"/>
                <c:pt idx="0">
                  <c:v>North</c:v>
                </c:pt>
                <c:pt idx="1">
                  <c:v>South</c:v>
                </c:pt>
                <c:pt idx="2">
                  <c:v>East</c:v>
                </c:pt>
                <c:pt idx="3">
                  <c:v>West</c:v>
                </c:pt>
              </c:strCache>
            </c:strRef>
          </c:cat>
          <c:val>
            <c:numRef>
              <c:f>'Executive Dashbboard'!$E$9:$E$12</c:f>
              <c:numCache>
                <c:formatCode>_-[$$-409]* #,##0.00_ ;_-[$$-409]* \-#,##0.00\ ;_-[$$-409]* "-"??_ ;_-@_ </c:formatCode>
                <c:ptCount val="4"/>
                <c:pt idx="0">
                  <c:v>225000</c:v>
                </c:pt>
                <c:pt idx="1">
                  <c:v>145000</c:v>
                </c:pt>
                <c:pt idx="2">
                  <c:v>200000</c:v>
                </c:pt>
                <c:pt idx="3">
                  <c:v>155000</c:v>
                </c:pt>
              </c:numCache>
            </c:numRef>
          </c:val>
          <c:extLst>
            <c:ext xmlns:c16="http://schemas.microsoft.com/office/drawing/2014/chart" uri="{C3380CC4-5D6E-409C-BE32-E72D297353CC}">
              <c16:uniqueId val="{00000002-BABC-421F-97AF-EBFD3A0DCE83}"/>
            </c:ext>
          </c:extLst>
        </c:ser>
        <c:dLbls>
          <c:showLegendKey val="0"/>
          <c:showVal val="0"/>
          <c:showCatName val="0"/>
          <c:showSerName val="0"/>
          <c:showPercent val="0"/>
          <c:showBubbleSize val="0"/>
        </c:dLbls>
        <c:gapWidth val="219"/>
        <c:overlap val="-27"/>
        <c:axId val="2078078496"/>
        <c:axId val="1525950672"/>
        <c:extLst>
          <c:ext xmlns:c15="http://schemas.microsoft.com/office/drawing/2012/chart" uri="{02D57815-91ED-43cb-92C2-25804820EDAC}">
            <c15:filteredBarSeries>
              <c15:ser>
                <c:idx val="1"/>
                <c:order val="1"/>
                <c:tx>
                  <c:strRef>
                    <c:extLst>
                      <c:ext uri="{02D57815-91ED-43cb-92C2-25804820EDAC}">
                        <c15:formulaRef>
                          <c15:sqref>'Executive Dashbboard'!$D$8</c15:sqref>
                        </c15:formulaRef>
                      </c:ext>
                    </c:extLst>
                    <c:strCache>
                      <c:ptCount val="1"/>
                    </c:strCache>
                  </c:strRef>
                </c:tx>
                <c:spPr>
                  <a:solidFill>
                    <a:schemeClr val="accent1"/>
                  </a:solidFill>
                  <a:ln>
                    <a:noFill/>
                  </a:ln>
                  <a:effectLst/>
                </c:spPr>
                <c:invertIfNegative val="0"/>
                <c:cat>
                  <c:strRef>
                    <c:extLst>
                      <c:ext uri="{02D57815-91ED-43cb-92C2-25804820EDAC}">
                        <c15:formulaRef>
                          <c15:sqref>'Executive Dashbboard'!$B$9:$B$12</c15:sqref>
                        </c15:formulaRef>
                      </c:ext>
                    </c:extLst>
                    <c:strCache>
                      <c:ptCount val="4"/>
                      <c:pt idx="0">
                        <c:v>North</c:v>
                      </c:pt>
                      <c:pt idx="1">
                        <c:v>South</c:v>
                      </c:pt>
                      <c:pt idx="2">
                        <c:v>East</c:v>
                      </c:pt>
                      <c:pt idx="3">
                        <c:v>West</c:v>
                      </c:pt>
                    </c:strCache>
                  </c:strRef>
                </c:cat>
                <c:val>
                  <c:numRef>
                    <c:extLst>
                      <c:ext uri="{02D57815-91ED-43cb-92C2-25804820EDAC}">
                        <c15:formulaRef>
                          <c15:sqref>'Executive Dashbboard'!$D$9:$D$12</c15:sqref>
                        </c15:formulaRef>
                      </c:ext>
                    </c:extLst>
                    <c:numCache>
                      <c:formatCode>General</c:formatCode>
                      <c:ptCount val="4"/>
                    </c:numCache>
                  </c:numRef>
                </c:val>
                <c:extLst>
                  <c:ext xmlns:c16="http://schemas.microsoft.com/office/drawing/2014/chart" uri="{C3380CC4-5D6E-409C-BE32-E72D297353CC}">
                    <c16:uniqueId val="{00000001-BABC-421F-97AF-EBFD3A0DCE83}"/>
                  </c:ext>
                </c:extLst>
              </c15:ser>
            </c15:filteredBarSeries>
          </c:ext>
        </c:extLst>
      </c:barChart>
      <c:catAx>
        <c:axId val="20780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950672"/>
        <c:crosses val="autoZero"/>
        <c:auto val="1"/>
        <c:lblAlgn val="ctr"/>
        <c:lblOffset val="100"/>
        <c:noMultiLvlLbl val="0"/>
      </c:catAx>
      <c:valAx>
        <c:axId val="1525950672"/>
        <c:scaling>
          <c:orientation val="minMax"/>
        </c:scaling>
        <c:delete val="0"/>
        <c:axPos val="l"/>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7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563880</xdr:colOff>
      <xdr:row>2</xdr:row>
      <xdr:rowOff>34290</xdr:rowOff>
    </xdr:from>
    <xdr:to>
      <xdr:col>17</xdr:col>
      <xdr:colOff>594360</xdr:colOff>
      <xdr:row>15</xdr:row>
      <xdr:rowOff>22860</xdr:rowOff>
    </xdr:to>
    <xdr:graphicFrame macro="">
      <xdr:nvGraphicFramePr>
        <xdr:cNvPr id="2" name="Chart 1">
          <a:extLst>
            <a:ext uri="{FF2B5EF4-FFF2-40B4-BE49-F238E27FC236}">
              <a16:creationId xmlns:a16="http://schemas.microsoft.com/office/drawing/2014/main" id="{348FE941-256C-9C90-D2DB-06D63DF70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152400</xdr:colOff>
      <xdr:row>15</xdr:row>
      <xdr:rowOff>160021</xdr:rowOff>
    </xdr:from>
    <xdr:to>
      <xdr:col>14</xdr:col>
      <xdr:colOff>220980</xdr:colOff>
      <xdr:row>29</xdr:row>
      <xdr:rowOff>60960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89002AAE-4CE2-44FD-850C-A015E3ADB8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60920" y="3063241"/>
              <a:ext cx="1897380" cy="24612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388620</xdr:colOff>
      <xdr:row>15</xdr:row>
      <xdr:rowOff>160020</xdr:rowOff>
    </xdr:from>
    <xdr:to>
      <xdr:col>17</xdr:col>
      <xdr:colOff>388620</xdr:colOff>
      <xdr:row>29</xdr:row>
      <xdr:rowOff>66675</xdr:rowOff>
    </xdr:to>
    <mc:AlternateContent xmlns:mc="http://schemas.openxmlformats.org/markup-compatibility/2006" xmlns:sle15="http://schemas.microsoft.com/office/drawing/2012/slicer">
      <mc:Choice Requires="sle15">
        <xdr:graphicFrame macro="">
          <xdr:nvGraphicFramePr>
            <xdr:cNvPr id="5" name="Product Category">
              <a:extLst>
                <a:ext uri="{FF2B5EF4-FFF2-40B4-BE49-F238E27FC236}">
                  <a16:creationId xmlns:a16="http://schemas.microsoft.com/office/drawing/2014/main" id="{DB9A3386-A3A3-4E06-BC0A-75E79C5E826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425940" y="3063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6551C1-94E6-4CD5-8625-48196A4D3180}" sourceName="Region">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80B09EC-34EE-40AA-B660-C5609B86F10D}" sourceName="Product Catego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9ECFB2-217F-4FD2-AFAC-80FDFF98B186}" cache="Slicer_Region" caption="Region" rowHeight="234950"/>
  <slicer name="Product Category" xr10:uid="{1530BF04-E39D-4958-8660-B5B15E51FFC6}"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5A6532-4B23-457E-B337-AD237D705896}" name="Table1" displayName="Table1" ref="A1:H11" totalsRowShown="0" headerRowDxfId="4">
  <autoFilter ref="A1:H11" xr:uid="{545A6532-4B23-457E-B337-AD237D705896}"/>
  <sortState xmlns:xlrd2="http://schemas.microsoft.com/office/spreadsheetml/2017/richdata2" ref="A2:H11">
    <sortCondition ref="C1:C11"/>
  </sortState>
  <tableColumns count="8">
    <tableColumn id="1" xr3:uid="{EC8F7A0D-645D-40F9-9C34-78E0CDB9D93D}" name="Date" dataDxfId="3"/>
    <tableColumn id="2" xr3:uid="{3F2FC82A-BEC8-4B27-9190-DB7E342AC9A8}" name="Region"/>
    <tableColumn id="3" xr3:uid="{B8EE9919-F52A-43C2-A0C7-37BCAC55A739}" name="Sales Rep"/>
    <tableColumn id="4" xr3:uid="{72150422-14C9-419F-A00E-4C622398E19E}" name="Product Category"/>
    <tableColumn id="5" xr3:uid="{A5382E49-7AA7-47DE-9EB4-9C2BD05E9012}" name="Target amount" dataDxfId="2"/>
    <tableColumn id="6" xr3:uid="{3C694D70-E00A-47E2-BF97-3C16BB8CB280}" name="Revenue Achieved" dataDxfId="1"/>
    <tableColumn id="7" xr3:uid="{71EC2301-0BDA-4486-8FE8-97415AEC8806}" name="Achievement %" dataDxfId="0">
      <calculatedColumnFormula>F2/E2</calculatedColumnFormula>
    </tableColumn>
    <tableColumn id="8" xr3:uid="{47202346-D551-4561-BDE1-5F568529A0C5}" name="Commission Tier">
      <calculatedColumnFormula>IF(G2&gt;=1, "Tier 1 (High)", IF(G2&gt;0.9, "Tier 2 (Standard)", "No Commission"))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356DE-CCB2-49A8-82E9-A59B35CCAED1}">
  <dimension ref="A1:I19"/>
  <sheetViews>
    <sheetView showGridLines="0" tabSelected="1" workbookViewId="0">
      <selection activeCell="K19" sqref="K19"/>
    </sheetView>
  </sheetViews>
  <sheetFormatPr defaultRowHeight="14.4" x14ac:dyDescent="0.3"/>
  <cols>
    <col min="3" max="3" width="12.5546875" bestFit="1" customWidth="1"/>
    <col min="5" max="5" width="12.5546875" bestFit="1" customWidth="1"/>
  </cols>
  <sheetData>
    <row r="1" spans="1:9" ht="23.4" x14ac:dyDescent="0.3">
      <c r="A1" s="16" t="s">
        <v>20</v>
      </c>
      <c r="B1" s="17"/>
      <c r="C1" s="17"/>
      <c r="D1" s="17"/>
      <c r="E1" s="17"/>
      <c r="F1" s="17"/>
      <c r="G1" s="17"/>
      <c r="H1" s="17"/>
    </row>
    <row r="3" spans="1:9" x14ac:dyDescent="0.3">
      <c r="B3" s="19" t="s">
        <v>21</v>
      </c>
      <c r="C3" s="20"/>
      <c r="E3" s="10" t="s">
        <v>22</v>
      </c>
      <c r="F3" s="11"/>
      <c r="H3" s="10" t="s">
        <v>23</v>
      </c>
      <c r="I3" s="11"/>
    </row>
    <row r="4" spans="1:9" ht="18" x14ac:dyDescent="0.35">
      <c r="B4" s="21">
        <f>SUM( 'Sales Data Master'!F2:F11)</f>
        <v>763000</v>
      </c>
      <c r="C4" s="21"/>
      <c r="E4" s="9">
        <f>SUM('Sales Data Master'!E2:E11)</f>
        <v>725000</v>
      </c>
      <c r="F4" s="9"/>
      <c r="H4" s="12">
        <f>AVERAGE('Sales Data Master'!G2:G11)</f>
        <v>1.0355374000784219</v>
      </c>
      <c r="I4" s="13"/>
    </row>
    <row r="5" spans="1:9" x14ac:dyDescent="0.3">
      <c r="B5" s="5"/>
      <c r="C5" s="5"/>
      <c r="E5" s="5"/>
      <c r="F5" s="5"/>
      <c r="H5" s="5"/>
      <c r="I5" s="5"/>
    </row>
    <row r="6" spans="1:9" x14ac:dyDescent="0.3">
      <c r="B6" s="18"/>
      <c r="C6" s="18"/>
      <c r="H6" s="18"/>
      <c r="I6" s="18"/>
    </row>
    <row r="7" spans="1:9" x14ac:dyDescent="0.3">
      <c r="B7" s="14" t="s">
        <v>24</v>
      </c>
      <c r="C7" s="14"/>
      <c r="D7" s="14"/>
      <c r="E7" s="14"/>
    </row>
    <row r="8" spans="1:9" x14ac:dyDescent="0.3">
      <c r="B8" s="6" t="s">
        <v>26</v>
      </c>
      <c r="C8" s="7" t="s">
        <v>25</v>
      </c>
      <c r="D8" s="7"/>
      <c r="E8" s="7" t="s">
        <v>27</v>
      </c>
      <c r="F8" s="6"/>
      <c r="G8" s="7" t="s">
        <v>28</v>
      </c>
      <c r="H8" s="6"/>
    </row>
    <row r="9" spans="1:9" x14ac:dyDescent="0.3">
      <c r="B9" t="s">
        <v>8</v>
      </c>
      <c r="C9" s="3">
        <f>SUMIFS('Sales Data Master'!F$2:F$11,'Sales Data Master'!B$2:B$11, B9)</f>
        <v>265000</v>
      </c>
      <c r="E9" s="3">
        <f>SUMIFS('Sales Data Master'!E$2:E$11, 'Sales Data Master'!B$2:B$11,B9)</f>
        <v>225000</v>
      </c>
      <c r="G9" s="8">
        <f>AVERAGEIFS('Sales Data Master'!G$2:G$11, 'Sales Data Master'!B$2:B$11,B9)</f>
        <v>1.1660087719298247</v>
      </c>
    </row>
    <row r="10" spans="1:9" x14ac:dyDescent="0.3">
      <c r="B10" t="s">
        <v>9</v>
      </c>
      <c r="C10" s="3">
        <f>SUMIFS('Sales Data Master'!F$2:F$11,'Sales Data Master'!B$2:B$11, B10)</f>
        <v>127000</v>
      </c>
      <c r="E10" s="3">
        <f>SUMIFS('Sales Data Master'!E$2:E$11, 'Sales Data Master'!B$2:B$11,B10)</f>
        <v>145000</v>
      </c>
      <c r="G10" s="8">
        <f>AVERAGEIFS('Sales Data Master'!G$2:G$11, 'Sales Data Master'!B$2:B$11,B10)</f>
        <v>0.85735294117647065</v>
      </c>
    </row>
    <row r="11" spans="1:9" x14ac:dyDescent="0.3">
      <c r="B11" t="s">
        <v>10</v>
      </c>
      <c r="C11" s="3">
        <f>SUMIFS('Sales Data Master'!F$2:F$11,'Sales Data Master'!B$2:B$11, B11)</f>
        <v>189000</v>
      </c>
      <c r="E11" s="3">
        <f>SUMIFS('Sales Data Master'!E$2:E$11, 'Sales Data Master'!B$2:B$11,B11)</f>
        <v>200000</v>
      </c>
      <c r="G11" s="8">
        <f>AVERAGEIFS('Sales Data Master'!G$2:G$11, 'Sales Data Master'!B$2:B$11,B11)</f>
        <v>0.93757575757575751</v>
      </c>
    </row>
    <row r="12" spans="1:9" x14ac:dyDescent="0.3">
      <c r="B12" t="s">
        <v>11</v>
      </c>
      <c r="C12" s="3">
        <f>SUMIFS('Sales Data Master'!F$2:F$11,'Sales Data Master'!B$2:B$11, B12)</f>
        <v>182000</v>
      </c>
      <c r="E12" s="3">
        <f>SUMIFS('Sales Data Master'!E$2:E$11, 'Sales Data Master'!B$2:B$11,B12)</f>
        <v>155000</v>
      </c>
      <c r="G12" s="8">
        <f>AVERAGEIFS('Sales Data Master'!G$2:G$11, 'Sales Data Master'!B$2:B$11,B12)</f>
        <v>1.164957264957265</v>
      </c>
    </row>
    <row r="15" spans="1:9" x14ac:dyDescent="0.3">
      <c r="B15" s="14" t="s">
        <v>29</v>
      </c>
      <c r="C15" s="15"/>
      <c r="D15" s="15"/>
    </row>
    <row r="16" spans="1:9" x14ac:dyDescent="0.3">
      <c r="B16" s="6" t="s">
        <v>30</v>
      </c>
      <c r="C16" s="6" t="s">
        <v>31</v>
      </c>
      <c r="D16" s="6"/>
      <c r="E16" s="6" t="s">
        <v>32</v>
      </c>
      <c r="F16" s="6"/>
    </row>
    <row r="17" spans="2:5" x14ac:dyDescent="0.3">
      <c r="B17">
        <v>1</v>
      </c>
      <c r="C17" t="str">
        <f>INDEX('Sales Data Master'!C$2:C$11,MATCH(E17, 'Sales Data Master'!F$2:F$10, 0))</f>
        <v>Rahul Verma</v>
      </c>
      <c r="E17">
        <f>LARGE('Sales Data Master'!F$2:F$11,B17)</f>
        <v>115000</v>
      </c>
    </row>
    <row r="18" spans="2:5" x14ac:dyDescent="0.3">
      <c r="B18">
        <v>2</v>
      </c>
      <c r="C18" t="str">
        <f>INDEX('Sales Data Master'!C$2:C$11,MATCH(E18, 'Sales Data Master'!F$2:F$10, 0))</f>
        <v>Neha Gupta</v>
      </c>
      <c r="E18">
        <f>LARGE('Sales Data Master'!F$2:F$11,B18)</f>
        <v>110000</v>
      </c>
    </row>
    <row r="19" spans="2:5" x14ac:dyDescent="0.3">
      <c r="B19">
        <v>3</v>
      </c>
      <c r="C19" t="str">
        <f>INDEX('Sales Data Master'!C$2:C$11,MATCH(E19, 'Sales Data Master'!F$2:F$10, 0))</f>
        <v>Amit sharma</v>
      </c>
      <c r="E19">
        <f>LARGE('Sales Data Master'!F$2:F$11,B19)</f>
        <v>95000</v>
      </c>
    </row>
  </sheetData>
  <mergeCells count="11">
    <mergeCell ref="A1:H1"/>
    <mergeCell ref="B6:C6"/>
    <mergeCell ref="H6:I6"/>
    <mergeCell ref="B3:C3"/>
    <mergeCell ref="B4:C4"/>
    <mergeCell ref="E3:F3"/>
    <mergeCell ref="E4:F4"/>
    <mergeCell ref="H3:I3"/>
    <mergeCell ref="H4:I4"/>
    <mergeCell ref="B7:E7"/>
    <mergeCell ref="B15:D15"/>
  </mergeCells>
  <conditionalFormatting sqref="B9:G12">
    <cfRule type="dataBar" priority="2">
      <dataBar>
        <cfvo type="min"/>
        <cfvo type="max"/>
        <color rgb="FF638EC6"/>
      </dataBar>
      <extLst>
        <ext xmlns:x14="http://schemas.microsoft.com/office/spreadsheetml/2009/9/main" uri="{B025F937-C7B1-47D3-B67F-A62EFF666E3E}">
          <x14:id>{C3F3631B-690A-4B51-95FF-9F7AA996007A}</x14:id>
        </ext>
      </extLst>
    </cfRule>
  </conditionalFormatting>
  <conditionalFormatting sqref="B9:J12">
    <cfRule type="dataBar" priority="1">
      <dataBar>
        <cfvo type="min"/>
        <cfvo type="max"/>
        <color rgb="FF638EC6"/>
      </dataBar>
      <extLst>
        <ext xmlns:x14="http://schemas.microsoft.com/office/spreadsheetml/2009/9/main" uri="{B025F937-C7B1-47D3-B67F-A62EFF666E3E}">
          <x14:id>{01606553-25C8-470F-85B7-5B0D76BC949F}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3F3631B-690A-4B51-95FF-9F7AA996007A}">
            <x14:dataBar minLength="0" maxLength="100" border="1" negativeBarBorderColorSameAsPositive="0">
              <x14:cfvo type="autoMin"/>
              <x14:cfvo type="autoMax"/>
              <x14:borderColor rgb="FF638EC6"/>
              <x14:negativeFillColor rgb="FFFF0000"/>
              <x14:negativeBorderColor rgb="FFFF0000"/>
              <x14:axisColor rgb="FF000000"/>
            </x14:dataBar>
          </x14:cfRule>
          <xm:sqref>B9:G12</xm:sqref>
        </x14:conditionalFormatting>
        <x14:conditionalFormatting xmlns:xm="http://schemas.microsoft.com/office/excel/2006/main">
          <x14:cfRule type="dataBar" id="{01606553-25C8-470F-85B7-5B0D76BC949F}">
            <x14:dataBar minLength="0" maxLength="100" border="1" negativeBarBorderColorSameAsPositive="0">
              <x14:cfvo type="autoMin"/>
              <x14:cfvo type="autoMax"/>
              <x14:borderColor rgb="FF638EC6"/>
              <x14:negativeFillColor rgb="FFFF0000"/>
              <x14:negativeBorderColor rgb="FFFF0000"/>
              <x14:axisColor rgb="FF000000"/>
            </x14:dataBar>
          </x14:cfRule>
          <xm:sqref>B9:J12</xm:sqref>
        </x14:conditionalFormatting>
      </x14:conditionalFormattings>
    </ex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0538-1E20-474B-963A-0A3F66F9CF11}">
  <dimension ref="A1:H11"/>
  <sheetViews>
    <sheetView zoomScale="120" zoomScaleNormal="120" workbookViewId="0">
      <selection activeCell="C23" sqref="C23"/>
    </sheetView>
  </sheetViews>
  <sheetFormatPr defaultRowHeight="14.4" x14ac:dyDescent="0.3"/>
  <cols>
    <col min="1" max="1" width="10.33203125" bestFit="1" customWidth="1"/>
    <col min="2" max="2" width="11.21875" bestFit="1" customWidth="1"/>
    <col min="3" max="3" width="13.33203125" bestFit="1" customWidth="1"/>
    <col min="4" max="4" width="20.21875" bestFit="1" customWidth="1"/>
    <col min="5" max="5" width="18" bestFit="1" customWidth="1"/>
    <col min="6" max="6" width="21.109375" bestFit="1" customWidth="1"/>
    <col min="7" max="7" width="18.5546875" bestFit="1" customWidth="1"/>
    <col min="8" max="8" width="19.33203125" bestFit="1" customWidth="1"/>
  </cols>
  <sheetData>
    <row r="1" spans="1:8" x14ac:dyDescent="0.3">
      <c r="A1" s="1" t="s">
        <v>0</v>
      </c>
      <c r="B1" s="1" t="s">
        <v>1</v>
      </c>
      <c r="C1" s="1" t="s">
        <v>2</v>
      </c>
      <c r="D1" s="1" t="s">
        <v>3</v>
      </c>
      <c r="E1" s="1" t="s">
        <v>4</v>
      </c>
      <c r="F1" s="1" t="s">
        <v>5</v>
      </c>
      <c r="G1" s="1" t="s">
        <v>6</v>
      </c>
      <c r="H1" s="1" t="s">
        <v>7</v>
      </c>
    </row>
    <row r="2" spans="1:8" x14ac:dyDescent="0.3">
      <c r="A2" s="2">
        <v>46037</v>
      </c>
      <c r="B2" t="s">
        <v>8</v>
      </c>
      <c r="C2" t="s">
        <v>12</v>
      </c>
      <c r="D2" t="s">
        <v>17</v>
      </c>
      <c r="E2" s="3">
        <v>80000</v>
      </c>
      <c r="F2" s="3">
        <v>95000</v>
      </c>
      <c r="G2" s="4">
        <f>F2/E2</f>
        <v>1.1875</v>
      </c>
      <c r="H2" t="str">
        <f>IF(G2&gt;=1, "Tier 1 (High)", IF(G2&gt;0.9, "Tier 2 (Standard)", "No Commission"))</f>
        <v>Tier 1 (High)</v>
      </c>
    </row>
    <row r="3" spans="1:8" x14ac:dyDescent="0.3">
      <c r="A3" s="2">
        <v>46047</v>
      </c>
      <c r="B3" t="s">
        <v>8</v>
      </c>
      <c r="C3" t="s">
        <v>12</v>
      </c>
      <c r="D3" t="s">
        <v>19</v>
      </c>
      <c r="E3" s="3">
        <v>50000</v>
      </c>
      <c r="F3" s="3">
        <v>55000</v>
      </c>
      <c r="G3" s="4">
        <f>F3/E3</f>
        <v>1.1000000000000001</v>
      </c>
      <c r="H3" t="str">
        <f>IF(G3&gt;=1, "Tier 1 (High)", IF(G3&gt;0.9, "Tier 2 (Standard)", "No Commission"))</f>
        <v>Tier 1 (High)</v>
      </c>
    </row>
    <row r="4" spans="1:8" x14ac:dyDescent="0.3">
      <c r="A4" s="2">
        <v>46044</v>
      </c>
      <c r="B4" t="s">
        <v>11</v>
      </c>
      <c r="C4" t="s">
        <v>15</v>
      </c>
      <c r="D4" t="s">
        <v>17</v>
      </c>
      <c r="E4" s="3">
        <v>90000</v>
      </c>
      <c r="F4" s="3">
        <v>110000</v>
      </c>
      <c r="G4" s="4">
        <f>F4/E4</f>
        <v>1.2222222222222223</v>
      </c>
      <c r="H4" t="str">
        <f>IF(G4&gt;=1, "Tier 1 (High)", IF(G4&gt;0.9, "Tier 2 (Standard)", "No Commission"))</f>
        <v>Tier 1 (High)</v>
      </c>
    </row>
    <row r="5" spans="1:8" x14ac:dyDescent="0.3">
      <c r="A5" s="2">
        <v>46058</v>
      </c>
      <c r="B5" t="s">
        <v>11</v>
      </c>
      <c r="C5" t="s">
        <v>15</v>
      </c>
      <c r="D5" t="s">
        <v>18</v>
      </c>
      <c r="E5" s="3">
        <v>65000</v>
      </c>
      <c r="F5" s="3">
        <v>72000</v>
      </c>
      <c r="G5" s="4">
        <f>F5/E5</f>
        <v>1.1076923076923078</v>
      </c>
      <c r="H5" t="str">
        <f>IF(G5&gt;=1, "Tier 1 (High)", IF(G5&gt;0.9, "Tier 2 (Standard)", "No Commission"))</f>
        <v>Tier 1 (High)</v>
      </c>
    </row>
    <row r="6" spans="1:8" x14ac:dyDescent="0.3">
      <c r="A6" s="2">
        <v>46040</v>
      </c>
      <c r="B6" t="s">
        <v>9</v>
      </c>
      <c r="C6" t="s">
        <v>13</v>
      </c>
      <c r="D6" t="s">
        <v>18</v>
      </c>
      <c r="E6" s="3">
        <v>60000</v>
      </c>
      <c r="F6" s="3">
        <v>45000</v>
      </c>
      <c r="G6" s="4">
        <f>F6/E6</f>
        <v>0.75</v>
      </c>
      <c r="H6" t="str">
        <f>IF(G6&gt;=1, "Tier 1 (High)", IF(G6&gt;0.9, "Tier 2 (Standard)", "No Commission"))</f>
        <v>No Commission</v>
      </c>
    </row>
    <row r="7" spans="1:8" x14ac:dyDescent="0.3">
      <c r="A7" s="2">
        <v>46050</v>
      </c>
      <c r="B7" t="s">
        <v>9</v>
      </c>
      <c r="C7" t="s">
        <v>13</v>
      </c>
      <c r="D7" t="s">
        <v>17</v>
      </c>
      <c r="E7" s="3">
        <v>85000</v>
      </c>
      <c r="F7" s="3">
        <v>82000</v>
      </c>
      <c r="G7" s="4">
        <f>F7/E7</f>
        <v>0.96470588235294119</v>
      </c>
      <c r="H7" t="str">
        <f>IF(G7&gt;=1, "Tier 1 (High)", IF(G7&gt;0.9, "Tier 2 (Standard)", "No Commission"))</f>
        <v>Tier 2 (Standard)</v>
      </c>
    </row>
    <row r="8" spans="1:8" x14ac:dyDescent="0.3">
      <c r="A8" s="2">
        <v>46042</v>
      </c>
      <c r="B8" t="s">
        <v>10</v>
      </c>
      <c r="C8" t="s">
        <v>14</v>
      </c>
      <c r="D8" t="s">
        <v>19</v>
      </c>
      <c r="E8" s="3">
        <v>75000</v>
      </c>
      <c r="F8" s="3">
        <v>78000</v>
      </c>
      <c r="G8" s="4">
        <f>F8/E8</f>
        <v>1.04</v>
      </c>
      <c r="H8" t="str">
        <f>IF(G8&gt;=1, "Tier 1 (High)", IF(G8&gt;0.9, "Tier 2 (Standard)", "No Commission"))</f>
        <v>Tier 1 (High)</v>
      </c>
    </row>
    <row r="9" spans="1:8" x14ac:dyDescent="0.3">
      <c r="A9" s="2">
        <v>46063</v>
      </c>
      <c r="B9" t="s">
        <v>8</v>
      </c>
      <c r="C9" t="s">
        <v>14</v>
      </c>
      <c r="D9" t="s">
        <v>17</v>
      </c>
      <c r="E9" s="3">
        <v>95000</v>
      </c>
      <c r="F9" s="3">
        <v>115000</v>
      </c>
      <c r="G9" s="4">
        <f>F9/E9</f>
        <v>1.2105263157894737</v>
      </c>
      <c r="H9" t="str">
        <f>IF(G9&gt;=1, "Tier 1 (High)", IF(G9&gt;0.9, "Tier 2 (Standard)", "No Commission"))</f>
        <v>Tier 1 (High)</v>
      </c>
    </row>
    <row r="10" spans="1:8" x14ac:dyDescent="0.3">
      <c r="A10" s="2">
        <v>46055</v>
      </c>
      <c r="B10" t="s">
        <v>10</v>
      </c>
      <c r="C10" t="s">
        <v>16</v>
      </c>
      <c r="D10" t="s">
        <v>18</v>
      </c>
      <c r="E10" s="3">
        <v>70000</v>
      </c>
      <c r="F10" s="3">
        <v>63000</v>
      </c>
      <c r="G10" s="4">
        <f>F10/E10</f>
        <v>0.9</v>
      </c>
      <c r="H10" t="str">
        <f>IF(G10&gt;=1, "Tier 1 (High)", IF(G10&gt;0.9, "Tier 2 (Standard)", "No Commission"))</f>
        <v>No Commission</v>
      </c>
    </row>
    <row r="11" spans="1:8" x14ac:dyDescent="0.3">
      <c r="A11" s="2">
        <v>46065</v>
      </c>
      <c r="B11" t="s">
        <v>10</v>
      </c>
      <c r="C11" t="s">
        <v>16</v>
      </c>
      <c r="D11" t="s">
        <v>19</v>
      </c>
      <c r="E11" s="3">
        <v>55000</v>
      </c>
      <c r="F11" s="3">
        <v>48000</v>
      </c>
      <c r="G11" s="4">
        <f>F11/E11</f>
        <v>0.87272727272727268</v>
      </c>
      <c r="H11" t="str">
        <f>IF(G11&gt;=1, "Tier 1 (High)", IF(G11&gt;0.9, "Tier 2 (Standard)", "No Commission"))</f>
        <v>No Commission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Dashbboard</vt:lpstr>
      <vt:lpstr>Sales Data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Nancy</dc:creator>
  <cp:lastModifiedBy>Nancy Nancy</cp:lastModifiedBy>
  <dcterms:created xsi:type="dcterms:W3CDTF">2026-09-23T05:39:28Z</dcterms:created>
  <dcterms:modified xsi:type="dcterms:W3CDTF">2026-09-23T13:44:26Z</dcterms:modified>
</cp:coreProperties>
</file>